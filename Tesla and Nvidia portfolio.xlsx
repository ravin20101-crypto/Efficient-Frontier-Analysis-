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n\Downloads\"/>
    </mc:Choice>
  </mc:AlternateContent>
  <xr:revisionPtr revIDLastSave="0" documentId="13_ncr:1_{2B366BF1-C88F-4BFD-9D62-D62E3F3FD86B}" xr6:coauthVersionLast="47" xr6:coauthVersionMax="47" xr10:uidLastSave="{00000000-0000-0000-0000-000000000000}"/>
  <bookViews>
    <workbookView xWindow="-120" yWindow="-120" windowWidth="38640" windowHeight="21120" xr2:uid="{EBA54C37-9680-4EA1-BF6C-D635A4DB0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" i="1" l="1"/>
  <c r="V5" i="1"/>
  <c r="V3" i="1"/>
  <c r="U3" i="1"/>
  <c r="U4" i="1"/>
  <c r="U5" i="1"/>
  <c r="R3" i="1"/>
  <c r="R4" i="1"/>
  <c r="R5" i="1"/>
  <c r="R6" i="1"/>
  <c r="R7" i="1"/>
  <c r="R8" i="1"/>
  <c r="R9" i="1"/>
  <c r="R10" i="1"/>
  <c r="R11" i="1"/>
  <c r="R12" i="1"/>
  <c r="R13" i="1"/>
  <c r="Q4" i="1"/>
  <c r="Q5" i="1"/>
  <c r="Q6" i="1"/>
  <c r="Q7" i="1"/>
  <c r="Q8" i="1"/>
  <c r="Q9" i="1"/>
  <c r="Q10" i="1"/>
  <c r="Q11" i="1"/>
  <c r="Q12" i="1"/>
  <c r="Q13" i="1"/>
  <c r="Q3" i="1"/>
  <c r="P3" i="1"/>
  <c r="P4" i="1"/>
  <c r="P5" i="1"/>
  <c r="P6" i="1"/>
  <c r="P7" i="1"/>
  <c r="P8" i="1"/>
  <c r="P9" i="1"/>
  <c r="P10" i="1"/>
  <c r="P11" i="1"/>
  <c r="P12" i="1"/>
  <c r="P13" i="1"/>
  <c r="J3" i="1"/>
  <c r="J6" i="1"/>
  <c r="J5" i="1"/>
  <c r="K4" i="1"/>
  <c r="J4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3" i="1"/>
</calcChain>
</file>

<file path=xl/sharedStrings.xml><?xml version="1.0" encoding="utf-8"?>
<sst xmlns="http://schemas.openxmlformats.org/spreadsheetml/2006/main" count="28" uniqueCount="23">
  <si>
    <t xml:space="preserve">Date </t>
  </si>
  <si>
    <t xml:space="preserve">close </t>
  </si>
  <si>
    <t xml:space="preserve">Close </t>
  </si>
  <si>
    <t>Daily Returns</t>
  </si>
  <si>
    <t>NVDA</t>
  </si>
  <si>
    <t>TESLA</t>
  </si>
  <si>
    <t xml:space="preserve">Summary Statistics </t>
  </si>
  <si>
    <t>NVD</t>
  </si>
  <si>
    <t xml:space="preserve">Mean </t>
  </si>
  <si>
    <t xml:space="preserve">Standard Deviation </t>
  </si>
  <si>
    <t xml:space="preserve">Covariance </t>
  </si>
  <si>
    <t xml:space="preserve">Risk Free Rate </t>
  </si>
  <si>
    <t>Portfolio Weights</t>
  </si>
  <si>
    <t>TSLA</t>
  </si>
  <si>
    <t xml:space="preserve">Portfolio Statistics </t>
  </si>
  <si>
    <t xml:space="preserve">Return </t>
  </si>
  <si>
    <t>St Dev</t>
  </si>
  <si>
    <t>Sharpe Ratio</t>
  </si>
  <si>
    <t xml:space="preserve">Capital Allocation Line </t>
  </si>
  <si>
    <t xml:space="preserve">Weight </t>
  </si>
  <si>
    <t>Return</t>
  </si>
  <si>
    <t>ST DEV</t>
  </si>
  <si>
    <t>Optimal Portfilo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</si>
</sst>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14" fontId="0" fillId="0" borderId="0" xfId="0" applyNumberFormat="1"/>
    <xf numFmtId="10" fontId="0" fillId="0" borderId="0" xfId="0" applyNumberFormat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9" fontId="0" fillId="0" borderId="0" xfId="0" applyNumberFormat="1"/>
    <xf numFmtId="9" fontId="1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165" fontId="0" fillId="0" borderId="0" xfId="0" applyNumberFormat="1"/>
    <xf numFmtId="14" fontId="1" fillId="0" borderId="0" xfId="0" applyNumberFormat="1" applyFont="1"/>
    <xf numFmtId="0" fontId="1" fillId="5" borderId="0" xfId="0" applyFont="1" applyFill="1"/>
    <xf numFmtId="0" fontId="1" fillId="6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5" fontId="0" fillId="8" borderId="0" xfId="0" applyNumberFormat="1" applyFill="1"/>
    <xf numFmtId="10" fontId="0" fillId="8" borderId="0" xfId="0" applyNumberFormat="1" applyFill="1"/>
    <xf numFmtId="164" fontId="0" fillId="8" borderId="0" xfId="0" applyNumberFormat="1" applyFill="1"/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Efficient Frontier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Sheet1!$Q$3:$Q$13</c:f>
              <c:numCache>
                <c:formatCode>0.00%</c:formatCode>
                <c:ptCount val="11"/>
                <c:pt idx="0">
                  <c:v>3.4884313321765004E-2</c:v>
                </c:pt>
                <c:pt idx="1">
                  <c:v>3.223238436532349E-2</c:v>
                </c:pt>
                <c:pt idx="2">
                  <c:v>2.9776813578689106E-2</c:v>
                </c:pt>
                <c:pt idx="3">
                  <c:v>2.7570117718450738E-2</c:v>
                </c:pt>
                <c:pt idx="4">
                  <c:v>2.5676543657619368E-2</c:v>
                </c:pt>
                <c:pt idx="5">
                  <c:v>2.4169798023095056E-2</c:v>
                </c:pt>
                <c:pt idx="6">
                  <c:v>2.3125616053112193E-2</c:v>
                </c:pt>
                <c:pt idx="7">
                  <c:v>2.2608180782139137E-2</c:v>
                </c:pt>
                <c:pt idx="8">
                  <c:v>2.2653615556969812E-2</c:v>
                </c:pt>
                <c:pt idx="9">
                  <c:v>2.3258621980058455E-2</c:v>
                </c:pt>
                <c:pt idx="10">
                  <c:v>2.4381579811462304E-2</c:v>
                </c:pt>
              </c:numCache>
            </c:numRef>
          </c:xVal>
          <c:yVal>
            <c:numRef>
              <c:f>Sheet1!$P$3:$P$13</c:f>
              <c:numCache>
                <c:formatCode>0.0000%</c:formatCode>
                <c:ptCount val="11"/>
                <c:pt idx="0">
                  <c:v>-9.3726919363647395E-4</c:v>
                </c:pt>
                <c:pt idx="1">
                  <c:v>-8.5499285779544649E-4</c:v>
                </c:pt>
                <c:pt idx="2">
                  <c:v>-7.7271652195441925E-4</c:v>
                </c:pt>
                <c:pt idx="3">
                  <c:v>-6.9044018611339169E-4</c:v>
                </c:pt>
                <c:pt idx="4">
                  <c:v>-6.0816385027236434E-4</c:v>
                </c:pt>
                <c:pt idx="5">
                  <c:v>-5.2588751443133699E-4</c:v>
                </c:pt>
                <c:pt idx="6">
                  <c:v>-4.4361117859030959E-4</c:v>
                </c:pt>
                <c:pt idx="7">
                  <c:v>-3.6133484274928219E-4</c:v>
                </c:pt>
                <c:pt idx="8">
                  <c:v>-2.7905850690825479E-4</c:v>
                </c:pt>
                <c:pt idx="9">
                  <c:v>-1.9678217106722739E-4</c:v>
                </c:pt>
                <c:pt idx="10">
                  <c:v>-1.1450583522619996E-4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7-41C9-8265-BC107B498F7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Sheet1!$V$3:$V$5</c:f>
              <c:numCache>
                <c:formatCode>0.00%</c:formatCode>
                <c:ptCount val="3"/>
                <c:pt idx="0">
                  <c:v>0</c:v>
                </c:pt>
                <c:pt idx="1">
                  <c:v>2.4381579811462304E-2</c:v>
                </c:pt>
                <c:pt idx="2">
                  <c:v>4.8763159622924608E-2</c:v>
                </c:pt>
              </c:numCache>
            </c:numRef>
          </c:xVal>
          <c:yVal>
            <c:numRef>
              <c:f>Sheet1!$U$3:$U$5</c:f>
              <c:numCache>
                <c:formatCode>0.000%</c:formatCode>
                <c:ptCount val="3"/>
                <c:pt idx="0">
                  <c:v>7.9365079365079365E-5</c:v>
                </c:pt>
                <c:pt idx="1">
                  <c:v>-1.1450583522619996E-4</c:v>
                </c:pt>
                <c:pt idx="2">
                  <c:v>-2.2901167045239992E-4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C7-41C9-8265-BC107B498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5023"/>
        <c:axId val="735087"/>
      </c:scatterChart>
      <c:valAx>
        <c:axId val="13105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87"/>
        <c:crosses val="autoZero"/>
        <c:crossBetween val="midCat"/>
      </c:valAx>
      <c:valAx>
        <c:axId val="73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268798</xdr:colOff>
      <xdr:row>15</xdr:row>
      <xdr:rowOff>137871</xdr:rowOff>
    </xdr:from>
    <xdr:to>
      <xdr:col>17</xdr:col>
      <xdr:colOff>530332</xdr:colOff>
      <xdr:row>29</xdr:row>
      <xdr:rowOff>168867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CACB8E-1F3A-853E-D04C-249CAD5C0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20FC-E050-4EF7-8835-7F553822D479}">
  <dimension ref="A1:V235"/>
  <sheetViews>
    <sheetView tabSelected="1" zoomScale="118" zoomScaleNormal="118" workbookViewId="0">
      <selection activeCell="S20" sqref="S20"/>
    </sheetView>
  </sheetViews>
  <sheetFormatPr defaultRowHeight="15"/>
  <cols>
    <col min="1" max="1" width="15.140625" style="2" customWidth="1"/>
    <col min="2" max="2" width="11.7109375" customWidth="1"/>
    <col min="3" max="3" width="10.42578125" customWidth="1"/>
    <col min="4" max="4" width="14.140625" customWidth="1"/>
    <col min="9" max="9" width="18.28515625" customWidth="1"/>
    <col min="10" max="10" width="9.140625" customWidth="1"/>
    <col min="15" max="15" width="18.85546875" customWidth="1"/>
    <col min="16" max="16" width="18.140625" customWidth="1"/>
    <col min="18" max="18" width="12.42578125" bestFit="1" customWidth="1"/>
  </cols>
  <sheetData>
    <row r="1" spans="1:22">
      <c r="A1" s="11" t="s">
        <v>0</v>
      </c>
      <c r="B1" s="4" t="s">
        <v>1</v>
      </c>
      <c r="C1" s="12" t="s">
        <v>4</v>
      </c>
      <c r="D1" s="4" t="s">
        <v>0</v>
      </c>
      <c r="E1" s="4" t="s">
        <v>2</v>
      </c>
      <c r="F1" s="13" t="s">
        <v>5</v>
      </c>
      <c r="G1" s="14" t="s">
        <v>3</v>
      </c>
      <c r="H1" s="15"/>
      <c r="J1" s="16" t="s">
        <v>6</v>
      </c>
      <c r="K1" s="17"/>
      <c r="M1" s="18" t="s">
        <v>12</v>
      </c>
      <c r="N1" s="19"/>
      <c r="P1" s="20" t="s">
        <v>14</v>
      </c>
      <c r="Q1" s="21"/>
      <c r="R1" s="21"/>
      <c r="T1" s="22" t="s">
        <v>18</v>
      </c>
      <c r="U1" s="23"/>
      <c r="V1" s="23"/>
    </row>
    <row r="2" spans="1:22">
      <c r="A2" s="2">
        <v>46255</v>
      </c>
      <c r="B2" s="1">
        <v>214.78</v>
      </c>
      <c r="C2" s="1"/>
      <c r="D2" s="2">
        <v>46255</v>
      </c>
      <c r="E2">
        <v>365.08</v>
      </c>
      <c r="G2" s="4" t="s">
        <v>4</v>
      </c>
      <c r="H2" s="4" t="s">
        <v>5</v>
      </c>
      <c r="J2" s="4" t="s">
        <v>7</v>
      </c>
      <c r="K2" s="4" t="s">
        <v>5</v>
      </c>
      <c r="M2" s="6" t="s">
        <v>4</v>
      </c>
      <c r="N2" s="6" t="s">
        <v>13</v>
      </c>
      <c r="P2" s="4" t="s">
        <v>15</v>
      </c>
      <c r="Q2" s="4" t="s">
        <v>16</v>
      </c>
      <c r="R2" s="4" t="s">
        <v>17</v>
      </c>
      <c r="T2" s="4" t="s">
        <v>19</v>
      </c>
      <c r="U2" s="4" t="s">
        <v>20</v>
      </c>
      <c r="V2" s="4" t="s">
        <v>21</v>
      </c>
    </row>
    <row r="3" spans="1:22">
      <c r="A3" s="2">
        <v>46254</v>
      </c>
      <c r="B3" s="1">
        <v>216.85</v>
      </c>
      <c r="C3" s="1"/>
      <c r="D3" s="2">
        <v>46254</v>
      </c>
      <c r="E3">
        <v>345.13</v>
      </c>
      <c r="G3" s="3">
        <f>(B2/B3)-1</f>
        <v>-9.5457689647221455E-3</v>
      </c>
      <c r="H3" s="3">
        <f>(E2/E3)-1</f>
        <v>5.7804305623967656E-2</v>
      </c>
      <c r="I3" s="4" t="s">
        <v>8</v>
      </c>
      <c r="J3" s="5">
        <f>AVERAGE(G3:G67)</f>
        <v>-1.1450583522619996E-4</v>
      </c>
      <c r="K3" s="5">
        <f>AVERAGE(H3:H67)</f>
        <v>-9.3726919363647395E-4</v>
      </c>
      <c r="M3" s="8">
        <v>0</v>
      </c>
      <c r="N3" s="9">
        <v>1</v>
      </c>
      <c r="P3" s="10">
        <f>(M3*$J$3)+(N3*$K$3)</f>
        <v>-9.3726919363647395E-4</v>
      </c>
      <c r="Q3" s="3">
        <f>((M3^2*$J$4^2)+(N3^2*$K$4^2)+(2*M3*N3*$J$5))^(1/2)</f>
        <v>3.4884313321765004E-2</v>
      </c>
      <c r="R3" s="5">
        <f>(P3-J6)/Q3</f>
        <v>-2.9143020922451569E-2</v>
      </c>
      <c r="T3" s="7">
        <v>0</v>
      </c>
      <c r="U3" s="5">
        <f>(T3*$P$13)+((1-T3)*J6)</f>
        <v>7.9365079365079365E-5</v>
      </c>
      <c r="V3" s="3">
        <f>(T3*$Q$13)</f>
        <v>0</v>
      </c>
    </row>
    <row r="4" spans="1:22">
      <c r="A4" s="2">
        <v>46253</v>
      </c>
      <c r="B4" s="1">
        <v>217.56</v>
      </c>
      <c r="C4" s="1"/>
      <c r="D4" s="2">
        <v>46253</v>
      </c>
      <c r="E4">
        <v>351.12</v>
      </c>
      <c r="G4" s="3">
        <f t="shared" ref="G4:G67" si="0">(B3/B4)-1</f>
        <v>-3.263467549181831E-3</v>
      </c>
      <c r="H4" s="3">
        <f t="shared" ref="H4:H67" si="1">(E3/E4)-1</f>
        <v>-1.7059694691273664E-2</v>
      </c>
      <c r="I4" s="4" t="s">
        <v>9</v>
      </c>
      <c r="J4">
        <f>_xlfn.STDEV.P(G3:G67)</f>
        <v>2.4381579811462304E-2</v>
      </c>
      <c r="K4">
        <f>_xlfn.STDEV.P(H3:H67)</f>
        <v>3.4884313321765004E-2</v>
      </c>
      <c r="M4" s="8">
        <v>0.1</v>
      </c>
      <c r="N4" s="9">
        <v>0.9</v>
      </c>
      <c r="P4" s="10">
        <f t="shared" ref="P4:P13" si="2">(M4*$J$3)+(N4*$K$3)</f>
        <v>-8.5499285779544649E-4</v>
      </c>
      <c r="Q4" s="3">
        <f t="shared" ref="Q4:Q13" si="3">((M4^2*$J$4^2)+(N4^2*$K$4^2)+(2*M4*N4*$J$5))^(1/2)</f>
        <v>3.223238436532349E-2</v>
      </c>
      <c r="R4" s="5">
        <f t="shared" ref="R4:R13" si="4">(P4-J7)/Q4</f>
        <v>-2.6525895450516902E-2</v>
      </c>
      <c r="T4" s="7">
        <v>1</v>
      </c>
      <c r="U4" s="5">
        <f t="shared" ref="U4:U5" si="5">(T4*$P$13)+((1-T4)*J7)</f>
        <v>-1.1450583522619996E-4</v>
      </c>
      <c r="V4" s="3">
        <f t="shared" ref="V4:V5" si="6">(T4*$Q$13)</f>
        <v>2.4381579811462304E-2</v>
      </c>
    </row>
    <row r="5" spans="1:22">
      <c r="A5" s="2">
        <v>46252</v>
      </c>
      <c r="B5" s="1">
        <v>219.74</v>
      </c>
      <c r="C5" s="1"/>
      <c r="D5" s="2">
        <v>46252</v>
      </c>
      <c r="E5">
        <v>336.87</v>
      </c>
      <c r="G5" s="3">
        <f t="shared" si="0"/>
        <v>-9.9208155092381789E-3</v>
      </c>
      <c r="H5" s="3">
        <f t="shared" si="1"/>
        <v>4.2301184433164218E-2</v>
      </c>
      <c r="I5" s="4" t="s">
        <v>10</v>
      </c>
      <c r="J5">
        <f>_xlfn.COVARIANCE.P(G3:G67,H3:H67)</f>
        <v>2.626698979375308E-4</v>
      </c>
      <c r="M5" s="8">
        <v>0.2</v>
      </c>
      <c r="N5" s="9">
        <v>0.8</v>
      </c>
      <c r="P5" s="10">
        <f t="shared" si="2"/>
        <v>-7.7271652195441925E-4</v>
      </c>
      <c r="Q5" s="3">
        <f t="shared" si="3"/>
        <v>2.9776813578689106E-2</v>
      </c>
      <c r="R5" s="5">
        <f t="shared" si="4"/>
        <v>-2.5950275704027741E-2</v>
      </c>
      <c r="T5" s="7">
        <v>2</v>
      </c>
      <c r="U5" s="5">
        <f t="shared" si="5"/>
        <v>-2.2901167045239992E-4</v>
      </c>
      <c r="V5" s="3">
        <f t="shared" si="6"/>
        <v>4.8763159622924608E-2</v>
      </c>
    </row>
    <row r="6" spans="1:22">
      <c r="A6" s="2">
        <v>46251</v>
      </c>
      <c r="B6" s="1">
        <v>225.01</v>
      </c>
      <c r="C6" s="1"/>
      <c r="D6" s="2">
        <v>46251</v>
      </c>
      <c r="E6">
        <v>339.3</v>
      </c>
      <c r="G6" s="3">
        <f t="shared" si="0"/>
        <v>-2.3421181280831926E-2</v>
      </c>
      <c r="H6" s="3">
        <f t="shared" si="1"/>
        <v>-7.1618037135279256E-3</v>
      </c>
      <c r="I6" s="4" t="s">
        <v>11</v>
      </c>
      <c r="J6" s="5">
        <f>0.02/252</f>
        <v>7.9365079365079365E-5</v>
      </c>
      <c r="M6" s="8">
        <v>0.3</v>
      </c>
      <c r="N6" s="9">
        <v>0.7</v>
      </c>
      <c r="P6" s="10">
        <f t="shared" si="2"/>
        <v>-6.9044018611339169E-4</v>
      </c>
      <c r="Q6" s="3">
        <f t="shared" si="3"/>
        <v>2.7570117718450738E-2</v>
      </c>
      <c r="R6" s="5">
        <f t="shared" si="4"/>
        <v>-2.5043062679827758E-2</v>
      </c>
    </row>
    <row r="7" spans="1:22">
      <c r="A7" s="2">
        <v>46248</v>
      </c>
      <c r="B7" s="1">
        <v>225.16</v>
      </c>
      <c r="C7" s="1"/>
      <c r="D7" s="2">
        <v>46248</v>
      </c>
      <c r="E7">
        <v>342.27</v>
      </c>
      <c r="G7" s="3">
        <f t="shared" si="0"/>
        <v>-6.6619292947245334E-4</v>
      </c>
      <c r="H7" s="3">
        <f t="shared" si="1"/>
        <v>-8.6773599789639055E-3</v>
      </c>
      <c r="M7" s="8">
        <v>0.4</v>
      </c>
      <c r="N7" s="9">
        <v>0.6</v>
      </c>
      <c r="P7" s="10">
        <f t="shared" si="2"/>
        <v>-6.0816385027236434E-4</v>
      </c>
      <c r="Q7" s="3">
        <f t="shared" si="3"/>
        <v>2.5676543657619368E-2</v>
      </c>
      <c r="R7" s="5">
        <f t="shared" si="4"/>
        <v>-2.3685580831355205E-2</v>
      </c>
    </row>
    <row r="8" spans="1:22">
      <c r="A8" s="2">
        <v>46247</v>
      </c>
      <c r="B8" s="1">
        <v>225.3</v>
      </c>
      <c r="C8" s="1"/>
      <c r="D8" s="2">
        <v>46247</v>
      </c>
      <c r="E8">
        <v>339.96</v>
      </c>
      <c r="G8" s="3">
        <f t="shared" si="0"/>
        <v>-6.2139369729252714E-4</v>
      </c>
      <c r="H8" s="3">
        <f t="shared" si="1"/>
        <v>6.7949170490646527E-3</v>
      </c>
      <c r="M8" s="8">
        <v>0.5</v>
      </c>
      <c r="N8" s="9">
        <v>0.5</v>
      </c>
      <c r="P8" s="10">
        <f t="shared" si="2"/>
        <v>-5.2588751443133699E-4</v>
      </c>
      <c r="Q8" s="3">
        <f t="shared" si="3"/>
        <v>2.4169798023095056E-2</v>
      </c>
      <c r="R8" s="5">
        <f t="shared" si="4"/>
        <v>-2.1758043403127893E-2</v>
      </c>
    </row>
    <row r="9" spans="1:22">
      <c r="A9" s="2">
        <v>46246</v>
      </c>
      <c r="B9" s="1">
        <v>224.09</v>
      </c>
      <c r="C9" s="1"/>
      <c r="D9" s="2">
        <v>46246</v>
      </c>
      <c r="E9">
        <v>327.51</v>
      </c>
      <c r="G9" s="3">
        <f t="shared" si="0"/>
        <v>5.3996162256235714E-3</v>
      </c>
      <c r="H9" s="3">
        <f t="shared" si="1"/>
        <v>3.8014106439498097E-2</v>
      </c>
      <c r="M9" s="8">
        <v>0.6</v>
      </c>
      <c r="N9" s="9">
        <v>0.4</v>
      </c>
      <c r="P9" s="10">
        <f t="shared" si="2"/>
        <v>-4.4361117859030959E-4</v>
      </c>
      <c r="Q9" s="3">
        <f t="shared" si="3"/>
        <v>2.3125616053112193E-2</v>
      </c>
      <c r="R9" s="5">
        <f t="shared" si="4"/>
        <v>-1.9182675072157023E-2</v>
      </c>
    </row>
    <row r="10" spans="1:22">
      <c r="A10" s="2">
        <v>46245</v>
      </c>
      <c r="B10" s="1">
        <v>217.5</v>
      </c>
      <c r="C10" s="1"/>
      <c r="D10" s="2">
        <v>46245</v>
      </c>
      <c r="E10">
        <v>332.81</v>
      </c>
      <c r="G10" s="3">
        <f t="shared" si="0"/>
        <v>3.0298850574712599E-2</v>
      </c>
      <c r="H10" s="3">
        <f t="shared" si="1"/>
        <v>-1.5925002253538101E-2</v>
      </c>
      <c r="M10" s="8">
        <v>0.7</v>
      </c>
      <c r="N10" s="9">
        <v>0.3</v>
      </c>
      <c r="P10" s="10">
        <f t="shared" si="2"/>
        <v>-3.6133484274928219E-4</v>
      </c>
      <c r="Q10" s="3">
        <f t="shared" si="3"/>
        <v>2.2608180782139137E-2</v>
      </c>
      <c r="R10" s="5">
        <f t="shared" si="4"/>
        <v>-1.5982482015304084E-2</v>
      </c>
    </row>
    <row r="11" spans="1:22">
      <c r="A11" s="2">
        <v>46244</v>
      </c>
      <c r="B11" s="1">
        <v>217.55</v>
      </c>
      <c r="C11" s="1"/>
      <c r="D11" s="2">
        <v>46244</v>
      </c>
      <c r="E11">
        <v>330.88</v>
      </c>
      <c r="G11" s="3">
        <f t="shared" si="0"/>
        <v>-2.298322224776328E-4</v>
      </c>
      <c r="H11" s="3">
        <f t="shared" si="1"/>
        <v>5.8329303675048738E-3</v>
      </c>
      <c r="M11" s="8">
        <v>0.8</v>
      </c>
      <c r="N11" s="9">
        <v>0.2</v>
      </c>
      <c r="P11" s="10">
        <f t="shared" si="2"/>
        <v>-2.7905850690825479E-4</v>
      </c>
      <c r="Q11" s="3">
        <f t="shared" si="3"/>
        <v>2.2653615556969812E-2</v>
      </c>
      <c r="R11" s="5">
        <f t="shared" si="4"/>
        <v>-1.2318497513408943E-2</v>
      </c>
    </row>
    <row r="12" spans="1:22">
      <c r="A12" s="2">
        <v>46241</v>
      </c>
      <c r="B12" s="1">
        <v>223.96</v>
      </c>
      <c r="C12" s="1"/>
      <c r="D12" s="2">
        <v>46241</v>
      </c>
      <c r="E12">
        <v>328.58</v>
      </c>
      <c r="G12" s="3">
        <f t="shared" si="0"/>
        <v>-2.8621182353991803E-2</v>
      </c>
      <c r="H12" s="3">
        <f t="shared" si="1"/>
        <v>6.99981739606792E-3</v>
      </c>
      <c r="M12" s="8">
        <v>0.9</v>
      </c>
      <c r="N12" s="9">
        <v>0.1</v>
      </c>
      <c r="P12" s="10">
        <f t="shared" si="2"/>
        <v>-1.9678217106722739E-4</v>
      </c>
      <c r="Q12" s="3">
        <f t="shared" si="3"/>
        <v>2.3258621980058455E-2</v>
      </c>
      <c r="R12" s="5">
        <f t="shared" si="4"/>
        <v>-8.4606117781158771E-3</v>
      </c>
    </row>
    <row r="13" spans="1:22">
      <c r="A13" s="2">
        <v>46240</v>
      </c>
      <c r="B13" s="1">
        <v>218.99</v>
      </c>
      <c r="C13" s="1"/>
      <c r="D13" s="2">
        <v>46240</v>
      </c>
      <c r="E13">
        <v>319.52999999999997</v>
      </c>
      <c r="G13" s="3">
        <f t="shared" si="0"/>
        <v>2.2695100232887233E-2</v>
      </c>
      <c r="H13" s="3">
        <f t="shared" si="1"/>
        <v>2.832284918474004E-2</v>
      </c>
      <c r="M13" s="8">
        <v>1</v>
      </c>
      <c r="N13" s="9">
        <v>0</v>
      </c>
      <c r="P13" s="24">
        <f t="shared" si="2"/>
        <v>-1.1450583522619996E-4</v>
      </c>
      <c r="Q13" s="25">
        <f t="shared" si="3"/>
        <v>2.4381579811462304E-2</v>
      </c>
      <c r="R13" s="26">
        <f t="shared" si="4"/>
        <v>-4.6964075384634558E-3</v>
      </c>
      <c r="S13" s="27" t="s">
        <v>22</v>
      </c>
      <c r="T13" s="27"/>
    </row>
    <row r="14" spans="1:22">
      <c r="A14" s="2">
        <v>46239</v>
      </c>
      <c r="B14" s="1">
        <v>219.22</v>
      </c>
      <c r="C14" s="1"/>
      <c r="D14" s="2">
        <v>46239</v>
      </c>
      <c r="E14">
        <v>321.55</v>
      </c>
      <c r="G14" s="3">
        <f t="shared" si="0"/>
        <v>-1.0491743454064117E-3</v>
      </c>
      <c r="H14" s="3">
        <f t="shared" si="1"/>
        <v>-6.2820712175402083E-3</v>
      </c>
      <c r="M14" s="8"/>
      <c r="N14" s="9"/>
      <c r="P14" s="10"/>
    </row>
    <row r="15" spans="1:22">
      <c r="A15" s="2">
        <v>46238</v>
      </c>
      <c r="B15" s="1">
        <v>211.94</v>
      </c>
      <c r="C15" s="1"/>
      <c r="D15" s="2">
        <v>46238</v>
      </c>
      <c r="E15">
        <v>327.35000000000002</v>
      </c>
      <c r="G15" s="3">
        <f t="shared" si="0"/>
        <v>3.4349344154005923E-2</v>
      </c>
      <c r="H15" s="3">
        <f t="shared" si="1"/>
        <v>-1.771803879639533E-2</v>
      </c>
    </row>
    <row r="16" spans="1:22">
      <c r="A16" s="2">
        <v>46237</v>
      </c>
      <c r="B16" s="1">
        <v>206.64</v>
      </c>
      <c r="C16" s="1"/>
      <c r="D16" s="2">
        <v>46237</v>
      </c>
      <c r="E16">
        <v>322.08</v>
      </c>
      <c r="G16" s="3">
        <f t="shared" si="0"/>
        <v>2.5648470770422094E-2</v>
      </c>
      <c r="H16" s="3">
        <f t="shared" si="1"/>
        <v>1.6362394436165051E-2</v>
      </c>
    </row>
    <row r="17" spans="1:8">
      <c r="A17" s="2">
        <v>46234</v>
      </c>
      <c r="B17" s="1">
        <v>200.75</v>
      </c>
      <c r="C17" s="1"/>
      <c r="D17" s="2">
        <v>46234</v>
      </c>
      <c r="E17">
        <v>311.20999999999998</v>
      </c>
      <c r="G17" s="3">
        <f t="shared" si="0"/>
        <v>2.9339975093399584E-2</v>
      </c>
      <c r="H17" s="3">
        <f t="shared" si="1"/>
        <v>3.4928183541659941E-2</v>
      </c>
    </row>
    <row r="18" spans="1:8">
      <c r="A18" s="2">
        <v>46233</v>
      </c>
      <c r="B18" s="1">
        <v>195.04</v>
      </c>
      <c r="C18" s="1"/>
      <c r="D18" s="2">
        <v>46233</v>
      </c>
      <c r="E18">
        <v>308.85000000000002</v>
      </c>
      <c r="G18" s="3">
        <f t="shared" si="0"/>
        <v>2.9276045939294448E-2</v>
      </c>
      <c r="H18" s="3">
        <f t="shared" si="1"/>
        <v>7.6412497976363625E-3</v>
      </c>
    </row>
    <row r="19" spans="1:8">
      <c r="A19" s="2">
        <v>46232</v>
      </c>
      <c r="B19" s="1">
        <v>190.01</v>
      </c>
      <c r="C19" s="1"/>
      <c r="D19" s="2">
        <v>46232</v>
      </c>
      <c r="E19">
        <v>298.32</v>
      </c>
      <c r="G19" s="3">
        <f t="shared" si="0"/>
        <v>2.6472290932056275E-2</v>
      </c>
      <c r="H19" s="3">
        <f t="shared" si="1"/>
        <v>3.529766693483527E-2</v>
      </c>
    </row>
    <row r="20" spans="1:8">
      <c r="A20" s="2">
        <v>46231</v>
      </c>
      <c r="B20" s="1">
        <v>197.01</v>
      </c>
      <c r="C20" s="1"/>
      <c r="D20" s="2">
        <v>46231</v>
      </c>
      <c r="E20">
        <v>307.44</v>
      </c>
      <c r="G20" s="3">
        <f t="shared" si="0"/>
        <v>-3.5531191310085752E-2</v>
      </c>
      <c r="H20" s="3">
        <f t="shared" si="1"/>
        <v>-2.9664324746291992E-2</v>
      </c>
    </row>
    <row r="21" spans="1:8">
      <c r="A21" s="2">
        <v>46230</v>
      </c>
      <c r="B21" s="1">
        <v>196.51</v>
      </c>
      <c r="C21" s="1"/>
      <c r="D21" s="2">
        <v>46230</v>
      </c>
      <c r="E21">
        <v>309.22000000000003</v>
      </c>
      <c r="G21" s="3">
        <f t="shared" si="0"/>
        <v>2.5443997760927761E-3</v>
      </c>
      <c r="H21" s="3">
        <f t="shared" si="1"/>
        <v>-5.756419377789368E-3</v>
      </c>
    </row>
    <row r="22" spans="1:8">
      <c r="A22" s="2">
        <v>46227</v>
      </c>
      <c r="B22" s="1">
        <v>206.84</v>
      </c>
      <c r="C22" s="1"/>
      <c r="D22" s="2">
        <v>46227</v>
      </c>
      <c r="E22">
        <v>313.02999999999997</v>
      </c>
      <c r="G22" s="3">
        <f t="shared" si="0"/>
        <v>-4.9941984142332307E-2</v>
      </c>
      <c r="H22" s="3">
        <f t="shared" si="1"/>
        <v>-1.2171357377886882E-2</v>
      </c>
    </row>
    <row r="23" spans="1:8">
      <c r="A23" s="2">
        <v>46226</v>
      </c>
      <c r="B23" s="1">
        <v>208.76</v>
      </c>
      <c r="C23" s="1"/>
      <c r="D23" s="2">
        <v>46226</v>
      </c>
      <c r="E23">
        <v>319.69</v>
      </c>
      <c r="G23" s="3">
        <f t="shared" si="0"/>
        <v>-9.1971642077025573E-3</v>
      </c>
      <c r="H23" s="3">
        <f t="shared" si="1"/>
        <v>-2.0832681660358565E-2</v>
      </c>
    </row>
    <row r="24" spans="1:8">
      <c r="A24" s="2">
        <v>46225</v>
      </c>
      <c r="B24" s="1">
        <v>212.06</v>
      </c>
      <c r="C24" s="1"/>
      <c r="D24" s="2">
        <v>46225</v>
      </c>
      <c r="E24">
        <v>374.01</v>
      </c>
      <c r="G24" s="3">
        <f t="shared" si="0"/>
        <v>-1.5561633499952876E-2</v>
      </c>
      <c r="H24" s="3">
        <f t="shared" si="1"/>
        <v>-0.14523675837544447</v>
      </c>
    </row>
    <row r="25" spans="1:8">
      <c r="A25" s="2">
        <v>46224</v>
      </c>
      <c r="B25" s="1">
        <v>207.29</v>
      </c>
      <c r="C25" s="1"/>
      <c r="D25" s="2">
        <v>46224</v>
      </c>
      <c r="E25">
        <v>378.93</v>
      </c>
      <c r="G25" s="3">
        <f t="shared" si="0"/>
        <v>2.3011240291379353E-2</v>
      </c>
      <c r="H25" s="3">
        <f t="shared" si="1"/>
        <v>-1.2983928430053138E-2</v>
      </c>
    </row>
    <row r="26" spans="1:8">
      <c r="A26" s="2">
        <v>46223</v>
      </c>
      <c r="B26" s="1">
        <v>203.28</v>
      </c>
      <c r="C26" s="1"/>
      <c r="D26" s="2">
        <v>46223</v>
      </c>
      <c r="E26">
        <v>369.57</v>
      </c>
      <c r="G26" s="3">
        <f t="shared" si="0"/>
        <v>1.9726485635576552E-2</v>
      </c>
      <c r="H26" s="3">
        <f t="shared" si="1"/>
        <v>2.5326731065833386E-2</v>
      </c>
    </row>
    <row r="27" spans="1:8">
      <c r="A27" s="2">
        <v>46220</v>
      </c>
      <c r="B27" s="1">
        <v>202.81</v>
      </c>
      <c r="C27" s="1"/>
      <c r="D27" s="2">
        <v>46220</v>
      </c>
      <c r="E27">
        <v>380.84</v>
      </c>
      <c r="G27" s="3">
        <f t="shared" si="0"/>
        <v>2.3174399684433578E-3</v>
      </c>
      <c r="H27" s="3">
        <f t="shared" si="1"/>
        <v>-2.9592479781535452E-2</v>
      </c>
    </row>
    <row r="28" spans="1:8">
      <c r="A28" s="2">
        <v>46219</v>
      </c>
      <c r="B28" s="1">
        <v>207.4</v>
      </c>
      <c r="C28" s="1"/>
      <c r="D28" s="2">
        <v>46219</v>
      </c>
      <c r="E28">
        <v>391.06</v>
      </c>
      <c r="G28" s="3">
        <f t="shared" si="0"/>
        <v>-2.2131147540983664E-2</v>
      </c>
      <c r="H28" s="3">
        <f t="shared" si="1"/>
        <v>-2.6134097069503426E-2</v>
      </c>
    </row>
    <row r="29" spans="1:8">
      <c r="A29" s="2">
        <v>46218</v>
      </c>
      <c r="B29" s="1">
        <v>212.5</v>
      </c>
      <c r="C29" s="1"/>
      <c r="D29" s="2">
        <v>46218</v>
      </c>
      <c r="E29">
        <v>394.46</v>
      </c>
      <c r="G29" s="3">
        <f t="shared" si="0"/>
        <v>-2.4000000000000021E-2</v>
      </c>
      <c r="H29" s="3">
        <f t="shared" si="1"/>
        <v>-8.619378390711252E-3</v>
      </c>
    </row>
    <row r="30" spans="1:8">
      <c r="A30" s="2">
        <v>46217</v>
      </c>
      <c r="B30" s="1">
        <v>211.8</v>
      </c>
      <c r="C30" s="1"/>
      <c r="D30" s="2">
        <v>46217</v>
      </c>
      <c r="E30">
        <v>396.18</v>
      </c>
      <c r="G30" s="3">
        <f t="shared" si="0"/>
        <v>3.3050047214353562E-3</v>
      </c>
      <c r="H30" s="3">
        <f t="shared" si="1"/>
        <v>-4.3414609520925351E-3</v>
      </c>
    </row>
    <row r="31" spans="1:8">
      <c r="A31" s="2">
        <v>46216</v>
      </c>
      <c r="B31" s="1">
        <v>203.53</v>
      </c>
      <c r="C31" s="1"/>
      <c r="D31" s="2">
        <v>46216</v>
      </c>
      <c r="E31">
        <v>394.76</v>
      </c>
      <c r="G31" s="3">
        <f t="shared" si="0"/>
        <v>4.0632830540952236E-2</v>
      </c>
      <c r="H31" s="3">
        <f t="shared" si="1"/>
        <v>3.597122302158251E-3</v>
      </c>
    </row>
    <row r="32" spans="1:8">
      <c r="A32" s="2">
        <v>46213</v>
      </c>
      <c r="B32" s="1">
        <v>210.96</v>
      </c>
      <c r="C32" s="1"/>
      <c r="D32" s="2">
        <v>46213</v>
      </c>
      <c r="E32">
        <v>407.76</v>
      </c>
      <c r="G32" s="3">
        <f t="shared" si="0"/>
        <v>-3.5219946909366695E-2</v>
      </c>
      <c r="H32" s="3">
        <f t="shared" si="1"/>
        <v>-3.1881498920933837E-2</v>
      </c>
    </row>
    <row r="33" spans="1:8">
      <c r="A33" s="2">
        <v>46212</v>
      </c>
      <c r="B33" s="1">
        <v>202.78</v>
      </c>
      <c r="C33" s="1"/>
      <c r="D33" s="2">
        <v>46212</v>
      </c>
      <c r="E33">
        <v>406.55</v>
      </c>
      <c r="G33" s="3">
        <f t="shared" si="0"/>
        <v>4.0339283953052529E-2</v>
      </c>
      <c r="H33" s="3">
        <f t="shared" si="1"/>
        <v>2.976263682203939E-3</v>
      </c>
    </row>
    <row r="34" spans="1:8">
      <c r="A34" s="2">
        <v>46211</v>
      </c>
      <c r="B34" s="1">
        <v>204.12</v>
      </c>
      <c r="C34" s="1"/>
      <c r="D34" s="2">
        <v>46211</v>
      </c>
      <c r="E34">
        <v>394.06</v>
      </c>
      <c r="G34" s="3">
        <f t="shared" si="0"/>
        <v>-6.5647658240250983E-3</v>
      </c>
      <c r="H34" s="3">
        <f t="shared" si="1"/>
        <v>3.1695680860782671E-2</v>
      </c>
    </row>
    <row r="35" spans="1:8">
      <c r="A35" s="2">
        <v>46210</v>
      </c>
      <c r="B35" s="1">
        <v>196.93</v>
      </c>
      <c r="C35" s="1"/>
      <c r="D35" s="2">
        <v>46210</v>
      </c>
      <c r="E35">
        <v>402.9</v>
      </c>
      <c r="G35" s="3">
        <f t="shared" si="0"/>
        <v>3.6510435180013179E-2</v>
      </c>
      <c r="H35" s="3">
        <f t="shared" si="1"/>
        <v>-2.1940928270042126E-2</v>
      </c>
    </row>
    <row r="36" spans="1:8">
      <c r="A36" s="2">
        <v>46209</v>
      </c>
      <c r="B36" s="1">
        <v>195.55</v>
      </c>
      <c r="C36" s="1"/>
      <c r="D36" s="2">
        <v>46209</v>
      </c>
      <c r="E36">
        <v>419.77</v>
      </c>
      <c r="G36" s="3">
        <f t="shared" si="0"/>
        <v>7.0570186653029499E-3</v>
      </c>
      <c r="H36" s="3">
        <f t="shared" si="1"/>
        <v>-4.0188674750458619E-2</v>
      </c>
    </row>
    <row r="37" spans="1:8">
      <c r="A37" s="2">
        <v>46205</v>
      </c>
      <c r="B37" s="1">
        <v>194.83</v>
      </c>
      <c r="C37" s="1"/>
      <c r="D37" s="2">
        <v>46205</v>
      </c>
      <c r="E37">
        <v>393.45</v>
      </c>
      <c r="G37" s="3">
        <f t="shared" si="0"/>
        <v>3.6955294359184432E-3</v>
      </c>
      <c r="H37" s="3">
        <f t="shared" si="1"/>
        <v>6.6895412377684593E-2</v>
      </c>
    </row>
    <row r="38" spans="1:8">
      <c r="A38" s="2">
        <v>46204</v>
      </c>
      <c r="B38" s="1">
        <v>197.58</v>
      </c>
      <c r="C38" s="1"/>
      <c r="D38" s="2">
        <v>46204</v>
      </c>
      <c r="E38">
        <v>425.3</v>
      </c>
      <c r="G38" s="3">
        <f t="shared" si="0"/>
        <v>-1.3918412794817314E-2</v>
      </c>
      <c r="H38" s="3">
        <f t="shared" si="1"/>
        <v>-7.4888314131201561E-2</v>
      </c>
    </row>
    <row r="39" spans="1:8">
      <c r="A39" s="2">
        <v>46203</v>
      </c>
      <c r="B39" s="1">
        <v>200.09</v>
      </c>
      <c r="C39" s="1"/>
      <c r="D39" s="2">
        <v>46203</v>
      </c>
      <c r="E39">
        <v>420.6</v>
      </c>
      <c r="G39" s="3">
        <f t="shared" si="0"/>
        <v>-1.254435504023188E-2</v>
      </c>
      <c r="H39" s="3">
        <f t="shared" si="1"/>
        <v>1.1174512601046072E-2</v>
      </c>
    </row>
    <row r="40" spans="1:8">
      <c r="A40" s="2">
        <v>46202</v>
      </c>
      <c r="B40" s="1">
        <v>194.97</v>
      </c>
      <c r="C40" s="1"/>
      <c r="D40" s="2">
        <v>46202</v>
      </c>
      <c r="E40">
        <v>411.84</v>
      </c>
      <c r="G40" s="3">
        <f t="shared" si="0"/>
        <v>2.6260450325691131E-2</v>
      </c>
      <c r="H40" s="3">
        <f t="shared" si="1"/>
        <v>2.1270396270396397E-2</v>
      </c>
    </row>
    <row r="41" spans="1:8">
      <c r="A41" s="2">
        <v>46199</v>
      </c>
      <c r="B41" s="1">
        <v>192.53</v>
      </c>
      <c r="C41" s="1"/>
      <c r="D41" s="2">
        <v>46199</v>
      </c>
      <c r="E41">
        <v>379.71</v>
      </c>
      <c r="G41" s="3">
        <f t="shared" si="0"/>
        <v>1.2673349607853268E-2</v>
      </c>
      <c r="H41" s="3">
        <f t="shared" si="1"/>
        <v>8.461720786916338E-2</v>
      </c>
    </row>
    <row r="42" spans="1:8">
      <c r="A42" s="2">
        <v>46198</v>
      </c>
      <c r="B42" s="1">
        <v>195.74</v>
      </c>
      <c r="C42" s="1"/>
      <c r="D42" s="2">
        <v>46198</v>
      </c>
      <c r="E42">
        <v>375.12</v>
      </c>
      <c r="G42" s="3">
        <f t="shared" si="0"/>
        <v>-1.6399305200776593E-2</v>
      </c>
      <c r="H42" s="3">
        <f t="shared" si="1"/>
        <v>1.2236084452974971E-2</v>
      </c>
    </row>
    <row r="43" spans="1:8">
      <c r="A43" s="2">
        <v>46197</v>
      </c>
      <c r="B43" s="1">
        <v>199</v>
      </c>
      <c r="C43" s="1"/>
      <c r="D43" s="2">
        <v>46197</v>
      </c>
      <c r="E43">
        <v>375.53</v>
      </c>
      <c r="G43" s="3">
        <f t="shared" si="0"/>
        <v>-1.638190954773866E-2</v>
      </c>
      <c r="H43" s="3">
        <f t="shared" si="1"/>
        <v>-1.0917902697520354E-3</v>
      </c>
    </row>
    <row r="44" spans="1:8">
      <c r="A44" s="2">
        <v>46196</v>
      </c>
      <c r="B44" s="1">
        <v>200.04</v>
      </c>
      <c r="C44" s="1"/>
      <c r="D44" s="2">
        <v>46196</v>
      </c>
      <c r="E44">
        <v>381.61</v>
      </c>
      <c r="G44" s="3">
        <f t="shared" si="0"/>
        <v>-5.198960207958403E-3</v>
      </c>
      <c r="H44" s="3">
        <f t="shared" si="1"/>
        <v>-1.5932496527868878E-2</v>
      </c>
    </row>
    <row r="45" spans="1:8">
      <c r="A45" s="2">
        <v>46195</v>
      </c>
      <c r="B45" s="1">
        <v>208.65</v>
      </c>
      <c r="C45" s="1"/>
      <c r="D45" s="2">
        <v>46195</v>
      </c>
      <c r="E45">
        <v>405.05</v>
      </c>
      <c r="G45" s="3">
        <f t="shared" si="0"/>
        <v>-4.126527677929559E-2</v>
      </c>
      <c r="H45" s="3">
        <f t="shared" si="1"/>
        <v>-5.7869398839649366E-2</v>
      </c>
    </row>
    <row r="46" spans="1:8">
      <c r="A46" s="2">
        <v>46191</v>
      </c>
      <c r="B46" s="1">
        <v>210.69</v>
      </c>
      <c r="C46" s="1"/>
      <c r="D46" s="2">
        <v>46191</v>
      </c>
      <c r="E46">
        <v>400.49</v>
      </c>
      <c r="G46" s="3">
        <f t="shared" si="0"/>
        <v>-9.6824718781147734E-3</v>
      </c>
      <c r="H46" s="3">
        <f t="shared" si="1"/>
        <v>1.1386052086194365E-2</v>
      </c>
    </row>
    <row r="47" spans="1:8">
      <c r="A47" s="2">
        <v>46190</v>
      </c>
      <c r="B47" s="1">
        <v>204.65</v>
      </c>
      <c r="C47" s="1"/>
      <c r="D47" s="2">
        <v>46190</v>
      </c>
      <c r="E47">
        <v>396.38</v>
      </c>
      <c r="G47" s="3">
        <f t="shared" si="0"/>
        <v>2.9513804055704806E-2</v>
      </c>
      <c r="H47" s="3">
        <f t="shared" si="1"/>
        <v>1.0368837983752988E-2</v>
      </c>
    </row>
    <row r="48" spans="1:8">
      <c r="A48" s="2">
        <v>46189</v>
      </c>
      <c r="B48" s="1">
        <v>207.41</v>
      </c>
      <c r="C48" s="1"/>
      <c r="D48" s="2">
        <v>46189</v>
      </c>
      <c r="E48">
        <v>404.66</v>
      </c>
      <c r="G48" s="3">
        <f t="shared" si="0"/>
        <v>-1.3306976519936287E-2</v>
      </c>
      <c r="H48" s="3">
        <f t="shared" si="1"/>
        <v>-2.0461622102505905E-2</v>
      </c>
    </row>
    <row r="49" spans="1:8">
      <c r="A49" s="2">
        <v>46188</v>
      </c>
      <c r="B49" s="1">
        <v>212.45</v>
      </c>
      <c r="C49" s="1"/>
      <c r="D49" s="2">
        <v>46188</v>
      </c>
      <c r="E49">
        <v>411.15</v>
      </c>
      <c r="G49" s="3">
        <f t="shared" si="0"/>
        <v>-2.3723228995057632E-2</v>
      </c>
      <c r="H49" s="3">
        <f t="shared" si="1"/>
        <v>-1.5784993311443452E-2</v>
      </c>
    </row>
    <row r="50" spans="1:8">
      <c r="A50" s="2">
        <v>46185</v>
      </c>
      <c r="B50" s="1">
        <v>205.19</v>
      </c>
      <c r="C50" s="1"/>
      <c r="D50" s="2">
        <v>46185</v>
      </c>
      <c r="E50">
        <v>406.43</v>
      </c>
      <c r="G50" s="3">
        <f t="shared" si="0"/>
        <v>3.5381841220332388E-2</v>
      </c>
      <c r="H50" s="3">
        <f t="shared" si="1"/>
        <v>1.1613315946165326E-2</v>
      </c>
    </row>
    <row r="51" spans="1:8">
      <c r="A51" s="2">
        <v>46184</v>
      </c>
      <c r="B51" s="1">
        <v>204.87</v>
      </c>
      <c r="C51" s="1"/>
      <c r="D51" s="2">
        <v>46184</v>
      </c>
      <c r="E51">
        <v>399.15</v>
      </c>
      <c r="G51" s="3">
        <f t="shared" si="0"/>
        <v>1.5619661248595929E-3</v>
      </c>
      <c r="H51" s="3">
        <f t="shared" si="1"/>
        <v>1.8238757359388735E-2</v>
      </c>
    </row>
    <row r="52" spans="1:8">
      <c r="A52" s="2">
        <v>46183</v>
      </c>
      <c r="B52" s="1">
        <v>200.42</v>
      </c>
      <c r="C52" s="1"/>
      <c r="D52" s="2">
        <v>46183</v>
      </c>
      <c r="E52">
        <v>381.59</v>
      </c>
      <c r="G52" s="3">
        <f t="shared" si="0"/>
        <v>2.2203372916874686E-2</v>
      </c>
      <c r="H52" s="3">
        <f t="shared" si="1"/>
        <v>4.6017977410309552E-2</v>
      </c>
    </row>
    <row r="53" spans="1:8">
      <c r="A53" s="2">
        <v>46182</v>
      </c>
      <c r="B53" s="1">
        <v>208.19</v>
      </c>
      <c r="C53" s="1"/>
      <c r="D53" s="2">
        <v>46182</v>
      </c>
      <c r="E53">
        <v>396.68</v>
      </c>
      <c r="G53" s="3">
        <f t="shared" si="0"/>
        <v>-3.7321677313992052E-2</v>
      </c>
      <c r="H53" s="3">
        <f t="shared" si="1"/>
        <v>-3.8040738126449591E-2</v>
      </c>
    </row>
    <row r="54" spans="1:8">
      <c r="A54" s="2">
        <v>46181</v>
      </c>
      <c r="B54" s="1">
        <v>208.64</v>
      </c>
      <c r="C54" s="1"/>
      <c r="D54" s="2">
        <v>46181</v>
      </c>
      <c r="E54">
        <v>408.95</v>
      </c>
      <c r="G54" s="3">
        <f t="shared" si="0"/>
        <v>-2.1568251533742311E-3</v>
      </c>
      <c r="H54" s="3">
        <f t="shared" si="1"/>
        <v>-3.0003667930064704E-2</v>
      </c>
    </row>
    <row r="55" spans="1:8">
      <c r="A55" s="2">
        <v>46178</v>
      </c>
      <c r="B55" s="1">
        <v>205.1</v>
      </c>
      <c r="C55" s="1"/>
      <c r="D55" s="2">
        <v>46178</v>
      </c>
      <c r="E55">
        <v>391</v>
      </c>
      <c r="G55" s="3">
        <f t="shared" si="0"/>
        <v>1.72598732325695E-2</v>
      </c>
      <c r="H55" s="3">
        <f t="shared" si="1"/>
        <v>4.5907928388746688E-2</v>
      </c>
    </row>
    <row r="56" spans="1:8">
      <c r="A56" s="2">
        <v>46177</v>
      </c>
      <c r="B56" s="1">
        <v>218.66</v>
      </c>
      <c r="C56" s="1"/>
      <c r="D56" s="2">
        <v>46177</v>
      </c>
      <c r="E56">
        <v>418.45</v>
      </c>
      <c r="G56" s="3">
        <f t="shared" si="0"/>
        <v>-6.2014085795298657E-2</v>
      </c>
      <c r="H56" s="3">
        <f t="shared" si="1"/>
        <v>-6.5599235273031353E-2</v>
      </c>
    </row>
    <row r="57" spans="1:8">
      <c r="A57" s="2">
        <v>46176</v>
      </c>
      <c r="B57" s="1">
        <v>214.75</v>
      </c>
      <c r="C57" s="1"/>
      <c r="D57" s="2">
        <v>46176</v>
      </c>
      <c r="E57">
        <v>423.7</v>
      </c>
      <c r="G57" s="3">
        <f t="shared" si="0"/>
        <v>1.8207217694994116E-2</v>
      </c>
      <c r="H57" s="3">
        <f t="shared" si="1"/>
        <v>-1.239084257729528E-2</v>
      </c>
    </row>
    <row r="58" spans="1:8">
      <c r="A58" s="2">
        <v>46175</v>
      </c>
      <c r="B58" s="1">
        <v>222.82</v>
      </c>
      <c r="C58" s="1"/>
      <c r="D58" s="2">
        <v>46175</v>
      </c>
      <c r="E58">
        <v>423.74</v>
      </c>
      <c r="G58" s="3">
        <f t="shared" si="0"/>
        <v>-3.6217574723992452E-2</v>
      </c>
      <c r="H58" s="3">
        <f t="shared" si="1"/>
        <v>-9.4397507905852329E-5</v>
      </c>
    </row>
    <row r="59" spans="1:8">
      <c r="A59" s="2">
        <v>46174</v>
      </c>
      <c r="B59" s="1">
        <v>224.36</v>
      </c>
      <c r="C59" s="1"/>
      <c r="D59" s="2">
        <v>46174</v>
      </c>
      <c r="E59">
        <v>415.88</v>
      </c>
      <c r="G59" s="3">
        <f t="shared" si="0"/>
        <v>-6.8639686218577856E-3</v>
      </c>
      <c r="H59" s="3">
        <f t="shared" si="1"/>
        <v>1.8899682600750145E-2</v>
      </c>
    </row>
    <row r="60" spans="1:8">
      <c r="A60" s="2">
        <v>46171</v>
      </c>
      <c r="B60" s="1">
        <v>211.14</v>
      </c>
      <c r="C60" s="1"/>
      <c r="D60" s="2">
        <v>46171</v>
      </c>
      <c r="E60">
        <v>435.79</v>
      </c>
      <c r="G60" s="3">
        <f t="shared" si="0"/>
        <v>6.2612484607369678E-2</v>
      </c>
      <c r="H60" s="3">
        <f t="shared" si="1"/>
        <v>-4.5687142889924148E-2</v>
      </c>
    </row>
    <row r="61" spans="1:8">
      <c r="A61" s="2">
        <v>46170</v>
      </c>
      <c r="B61" s="1">
        <v>214.25</v>
      </c>
      <c r="C61" s="1"/>
      <c r="D61" s="2">
        <v>46170</v>
      </c>
      <c r="E61">
        <v>442.1</v>
      </c>
      <c r="G61" s="3">
        <f t="shared" si="0"/>
        <v>-1.4515752625437583E-2</v>
      </c>
      <c r="H61" s="3">
        <f t="shared" si="1"/>
        <v>-1.4272788961773308E-2</v>
      </c>
    </row>
    <row r="62" spans="1:8">
      <c r="A62" s="2">
        <v>46169</v>
      </c>
      <c r="B62" s="1">
        <v>212.6</v>
      </c>
      <c r="C62" s="1"/>
      <c r="D62" s="2">
        <v>46169</v>
      </c>
      <c r="E62">
        <v>440.36</v>
      </c>
      <c r="G62" s="3">
        <f t="shared" si="0"/>
        <v>7.7610536218251092E-3</v>
      </c>
      <c r="H62" s="3">
        <f t="shared" si="1"/>
        <v>3.9513125624488499E-3</v>
      </c>
    </row>
    <row r="63" spans="1:8">
      <c r="A63" s="2">
        <v>46168</v>
      </c>
      <c r="B63" s="1">
        <v>214.86</v>
      </c>
      <c r="C63" s="1"/>
      <c r="D63" s="2">
        <v>46168</v>
      </c>
      <c r="E63">
        <v>433.59</v>
      </c>
      <c r="G63" s="3">
        <f t="shared" si="0"/>
        <v>-1.0518477147910321E-2</v>
      </c>
      <c r="H63" s="3">
        <f t="shared" si="1"/>
        <v>1.5613828732212509E-2</v>
      </c>
    </row>
    <row r="64" spans="1:8">
      <c r="A64" s="2">
        <v>46164</v>
      </c>
      <c r="B64" s="1">
        <v>215.33</v>
      </c>
      <c r="C64" s="1"/>
      <c r="D64" s="2">
        <v>46164</v>
      </c>
      <c r="E64">
        <v>426.01</v>
      </c>
      <c r="G64" s="3">
        <f t="shared" si="0"/>
        <v>-2.182696326568534E-3</v>
      </c>
      <c r="H64" s="3">
        <f t="shared" si="1"/>
        <v>1.7793009553766392E-2</v>
      </c>
    </row>
    <row r="65" spans="1:8">
      <c r="A65" s="2">
        <v>46163</v>
      </c>
      <c r="B65" s="1">
        <v>219.51</v>
      </c>
      <c r="C65" s="1"/>
      <c r="D65" s="2">
        <v>46163</v>
      </c>
      <c r="E65">
        <v>417.85</v>
      </c>
      <c r="G65" s="3">
        <f t="shared" si="0"/>
        <v>-1.9042412646348539E-2</v>
      </c>
      <c r="H65" s="3">
        <f t="shared" si="1"/>
        <v>1.9528538949383778E-2</v>
      </c>
    </row>
    <row r="66" spans="1:8">
      <c r="A66" s="2">
        <v>46162</v>
      </c>
      <c r="B66" s="1">
        <v>223.47</v>
      </c>
      <c r="C66" s="1"/>
      <c r="D66" s="2">
        <v>46162</v>
      </c>
      <c r="E66">
        <v>417.26</v>
      </c>
      <c r="G66" s="3">
        <f t="shared" si="0"/>
        <v>-1.7720499395892153E-2</v>
      </c>
      <c r="H66" s="3">
        <f t="shared" si="1"/>
        <v>1.4139864832478644E-3</v>
      </c>
    </row>
    <row r="67" spans="1:8">
      <c r="A67" s="2">
        <v>46161</v>
      </c>
      <c r="B67" s="1">
        <v>220.61</v>
      </c>
      <c r="C67" s="1"/>
      <c r="D67" s="2">
        <v>46161</v>
      </c>
      <c r="E67">
        <v>404.11</v>
      </c>
      <c r="G67" s="3">
        <f t="shared" si="0"/>
        <v>1.2964054213317588E-2</v>
      </c>
      <c r="H67" s="3">
        <f t="shared" si="1"/>
        <v>3.2540644873920499E-2</v>
      </c>
    </row>
    <row r="68" spans="1:8">
      <c r="D68" s="2"/>
    </row>
    <row r="69" spans="1:8">
      <c r="D69" s="2"/>
    </row>
    <row r="70" spans="1:8">
      <c r="D70" s="2"/>
    </row>
    <row r="71" spans="1:8">
      <c r="D71" s="2"/>
    </row>
    <row r="72" spans="1:8">
      <c r="D72" s="2"/>
    </row>
    <row r="73" spans="1:8">
      <c r="D73" s="2"/>
    </row>
    <row r="74" spans="1:8">
      <c r="D74" s="2"/>
    </row>
    <row r="75" spans="1:8">
      <c r="D75" s="2"/>
    </row>
    <row r="76" spans="1:8">
      <c r="D76" s="2"/>
    </row>
    <row r="77" spans="1:8">
      <c r="D77" s="2"/>
    </row>
    <row r="78" spans="1:8">
      <c r="D78" s="2"/>
    </row>
    <row r="79" spans="1:8">
      <c r="D79" s="2"/>
    </row>
    <row r="80" spans="1:8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</sheetData>
  <mergeCells count="6">
    <mergeCell ref="S13:T13"/>
    <mergeCell ref="G1:H1"/>
    <mergeCell ref="J1:K1"/>
    <mergeCell ref="M1:N1"/>
    <mergeCell ref="P1:R1"/>
    <mergeCell ref="T1:V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Singh</dc:creator>
  <cp:lastModifiedBy>Ravindra Singh</cp:lastModifiedBy>
  <cp:lastPrinted>2026-08-24T20:15:26Z</cp:lastPrinted>
  <dcterms:created xsi:type="dcterms:W3CDTF">2026-08-21T19:19:04Z</dcterms:created>
  <dcterms:modified xsi:type="dcterms:W3CDTF">2026-08-25T18:17:08Z</dcterms:modified>
</cp:coreProperties>
</file>